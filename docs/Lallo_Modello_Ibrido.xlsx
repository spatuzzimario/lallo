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nzioni" sheetId="1" state="visible" r:id="rId3"/>
    <sheet name="Capacità e Margine" sheetId="2" state="visible" r:id="rId4"/>
    <sheet name="Scenario Pilo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<sst xmlns="http://schemas.openxmlformats.org/spreadsheetml/2006/main" count="69" uniqueCount="65">
  <si>
    <t xml:space="preserve">Lallo — Modello Ibrido: Assunzioni</t>
  </si>
  <si>
    <t xml:space="preserve">Celle in blu/giallo = input modificabile. Cambia questi valori per aggiornare tutto il modello.</t>
  </si>
  <si>
    <t xml:space="preserve">Voce</t>
  </si>
  <si>
    <t xml:space="preserve">Valore</t>
  </si>
  <si>
    <t xml:space="preserve">Nota</t>
  </si>
  <si>
    <t xml:space="preserve">Prezzo seduta al genitore (EUR)</t>
  </si>
  <si>
    <t xml:space="preserve">Ipotesi di partenza, in linea con mercato privato IT (40-70 EUR)</t>
  </si>
  <si>
    <t xml:space="preserve">Payout al logopedista per seduta (EUR)</t>
  </si>
  <si>
    <t xml:space="preserve">Split ~69% al terapista, tipico in marketplace telemedicina (60-75%)</t>
  </si>
  <si>
    <t xml:space="preserve">Costo variabile per seduta (EUR)</t>
  </si>
  <si>
    <t xml:space="preserve">Pagamenti, infra video, supporto - stima conservativa</t>
  </si>
  <si>
    <t xml:space="preserve">Durata seduta (minuti)</t>
  </si>
  <si>
    <t xml:space="preserve">Standard seduta logopedia pediatrica</t>
  </si>
  <si>
    <t xml:space="preserve">Ore cliniche/settimana per logopedista FTE</t>
  </si>
  <si>
    <t xml:space="preserve">Resto ore per note cliniche, admin, pause</t>
  </si>
  <si>
    <t xml:space="preserve">Settimane lavorate/anno per FTE</t>
  </si>
  <si>
    <t xml:space="preserve">52 settimane - ferie/malattia</t>
  </si>
  <si>
    <t xml:space="preserve">Sedute per famiglia a settimana</t>
  </si>
  <si>
    <t xml:space="preserve">Cadenza tipica prescritta</t>
  </si>
  <si>
    <t xml:space="preserve">Famiglie target - scenario pilota</t>
  </si>
  <si>
    <t xml:space="preserve">Modificabile: prova 20, 50, 200...</t>
  </si>
  <si>
    <t xml:space="preserve">Buffer no-show / tempo non fatturabile</t>
  </si>
  <si>
    <t xml:space="preserve">% capacita persa per cancellazioni, ritardi</t>
  </si>
  <si>
    <t xml:space="preserve">Abbonamento app mensile (EUR) - ricavo aggiuntivo</t>
  </si>
  <si>
    <t xml:space="preserve">Ricavo software, indipendente dal marketplace</t>
  </si>
  <si>
    <t xml:space="preserve">Capacità e margine per logopedista (FTE)</t>
  </si>
  <si>
    <t xml:space="preserve">Metrica</t>
  </si>
  <si>
    <t xml:space="preserve">Formula / fonte</t>
  </si>
  <si>
    <t xml:space="preserve">Sedute/settimana per FTE</t>
  </si>
  <si>
    <t xml:space="preserve">Ore cliniche/sett / durata seduta</t>
  </si>
  <si>
    <t xml:space="preserve">Sedute/anno per FTE</t>
  </si>
  <si>
    <t xml:space="preserve">Sedute/settimana x settimane lavorate</t>
  </si>
  <si>
    <t xml:space="preserve">Margine lordo per seduta (EUR)</t>
  </si>
  <si>
    <t xml:space="preserve">Prezzo - payout - costo variabile</t>
  </si>
  <si>
    <t xml:space="preserve">% margine per seduta</t>
  </si>
  <si>
    <t xml:space="preserve">Margine / prezzo</t>
  </si>
  <si>
    <t xml:space="preserve">Margine annuo per FTE (EUR)</t>
  </si>
  <si>
    <t xml:space="preserve">Sedute/anno x margine/seduta</t>
  </si>
  <si>
    <t xml:space="preserve">Ricavo annuo per FTE (EUR)</t>
  </si>
  <si>
    <t xml:space="preserve">Sedute/anno x prezzo</t>
  </si>
  <si>
    <t xml:space="preserve">Payout annuo al terapista (EUR)</t>
  </si>
  <si>
    <t xml:space="preserve">Sedute/anno x payout</t>
  </si>
  <si>
    <t xml:space="preserve">Scenario pilota: quanti logopedisti servono?</t>
  </si>
  <si>
    <t xml:space="preserve">Basato su 'Famiglie target' in Assunzioni!B11 - cambia quel numero per ricalcolare tutto.</t>
  </si>
  <si>
    <t xml:space="preserve">Sedute richieste/settimana</t>
  </si>
  <si>
    <t xml:space="preserve">Famiglie target x sedute/famiglia/sett</t>
  </si>
  <si>
    <t xml:space="preserve">Capacita effettiva/FTE (con buffer no-show)</t>
  </si>
  <si>
    <t xml:space="preserve">Sedute/sett FTE x (1 - buffer)</t>
  </si>
  <si>
    <t xml:space="preserve">Logopedisti necessari (arrotondato per eccesso)</t>
  </si>
  <si>
    <t xml:space="preserve">Sedute richieste / capacita effettiva</t>
  </si>
  <si>
    <t xml:space="preserve">Ricavo mensile marketplace (EUR)</t>
  </si>
  <si>
    <t xml:space="preserve">Sedute/sett x 4.33 x prezzo seduta</t>
  </si>
  <si>
    <t xml:space="preserve">Payout mensile terapisti (EUR)</t>
  </si>
  <si>
    <t xml:space="preserve">Sedute/sett x 4.33 x payout</t>
  </si>
  <si>
    <t xml:space="preserve">Costo variabile mensile (EUR)</t>
  </si>
  <si>
    <t xml:space="preserve">Sedute/sett x 4.33 x costo variabile</t>
  </si>
  <si>
    <t xml:space="preserve">Margine lordo mensile marketplace (EUR)</t>
  </si>
  <si>
    <t xml:space="preserve">Ricavo - payout - costo variabile</t>
  </si>
  <si>
    <t xml:space="preserve">% margine lordo marketplace</t>
  </si>
  <si>
    <t xml:space="preserve">Margine / ricavo</t>
  </si>
  <si>
    <t xml:space="preserve">Ricavo mensile abbonamento app (EUR)</t>
  </si>
  <si>
    <t xml:space="preserve">Famiglie target x abbonamento mensile</t>
  </si>
  <si>
    <t xml:space="preserve">Ricavo mensile totale stimato (EUR)</t>
  </si>
  <si>
    <t xml:space="preserve">Marketplace + abbonamento</t>
  </si>
  <si>
    <t xml:space="preserve">Nota: questo copre solo il margine lordo diretto - non include CAC, marketing, ops di matching, remunerazione fondatori, o costi di compliance (consenso informato, cartelle cliniche, assicurazione RC professionale) che nel modello ibrido diventano costi reali e non trascurabili.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</si>
</sst>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4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15" hidden="false" customHeight="false" outlineLevel="0" collapsed="false">
      <c r="A4" s="0" t="s">
        <v>5</v>
      </c>
      <c r="B4" s="4" t="n">
        <v>55</v>
      </c>
      <c r="C4" s="2" t="s">
        <v>6</v>
      </c>
    </row>
    <row r="5" customFormat="false" ht="15" hidden="false" customHeight="false" outlineLevel="0" collapsed="false">
      <c r="A5" s="0" t="s">
        <v>7</v>
      </c>
      <c r="B5" s="4" t="n">
        <v>38</v>
      </c>
      <c r="C5" s="2" t="s">
        <v>8</v>
      </c>
    </row>
    <row r="6" customFormat="false" ht="15" hidden="false" customHeight="false" outlineLevel="0" collapsed="false">
      <c r="A6" s="0" t="s">
        <v>9</v>
      </c>
      <c r="B6" s="4" t="n">
        <v>2</v>
      </c>
      <c r="C6" s="2" t="s">
        <v>10</v>
      </c>
    </row>
    <row r="7" customFormat="false" ht="15" hidden="false" customHeight="false" outlineLevel="0" collapsed="false">
      <c r="A7" s="0" t="s">
        <v>11</v>
      </c>
      <c r="B7" s="4" t="n">
        <v>45</v>
      </c>
      <c r="C7" s="2" t="s">
        <v>12</v>
      </c>
    </row>
    <row r="8" customFormat="false" ht="15" hidden="false" customHeight="false" outlineLevel="0" collapsed="false">
      <c r="A8" s="0" t="s">
        <v>13</v>
      </c>
      <c r="B8" s="4" t="n">
        <v>30</v>
      </c>
      <c r="C8" s="2" t="s">
        <v>14</v>
      </c>
    </row>
    <row r="9" customFormat="false" ht="15" hidden="false" customHeight="false" outlineLevel="0" collapsed="false">
      <c r="A9" s="0" t="s">
        <v>15</v>
      </c>
      <c r="B9" s="4" t="n">
        <v>46</v>
      </c>
      <c r="C9" s="2" t="s">
        <v>16</v>
      </c>
    </row>
    <row r="10" customFormat="false" ht="15" hidden="false" customHeight="false" outlineLevel="0" collapsed="false">
      <c r="A10" s="0" t="s">
        <v>17</v>
      </c>
      <c r="B10" s="4" t="n">
        <v>1</v>
      </c>
      <c r="C10" s="2" t="s">
        <v>18</v>
      </c>
    </row>
    <row r="11" customFormat="false" ht="15" hidden="false" customHeight="false" outlineLevel="0" collapsed="false">
      <c r="A11" s="0" t="s">
        <v>19</v>
      </c>
      <c r="B11" s="4" t="n">
        <v>100</v>
      </c>
      <c r="C11" s="2" t="s">
        <v>20</v>
      </c>
    </row>
    <row r="12" customFormat="false" ht="15" hidden="false" customHeight="false" outlineLevel="0" collapsed="false">
      <c r="A12" s="0" t="s">
        <v>21</v>
      </c>
      <c r="B12" s="5" t="n">
        <v>0.15</v>
      </c>
      <c r="C12" s="2" t="s">
        <v>22</v>
      </c>
    </row>
    <row r="13" customFormat="false" ht="15" hidden="false" customHeight="false" outlineLevel="0" collapsed="false">
      <c r="A13" s="0" t="s">
        <v>23</v>
      </c>
      <c r="B13" s="4" t="n">
        <v>15</v>
      </c>
      <c r="C13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1" t="s">
        <v>25</v>
      </c>
    </row>
    <row r="3" customFormat="false" ht="15" hidden="false" customHeight="false" outlineLevel="0" collapsed="false">
      <c r="A3" s="3" t="s">
        <v>26</v>
      </c>
      <c r="B3" s="3" t="s">
        <v>3</v>
      </c>
      <c r="C3" s="3" t="s">
        <v>27</v>
      </c>
    </row>
    <row r="4" customFormat="false" ht="15" hidden="false" customHeight="false" outlineLevel="0" collapsed="false">
      <c r="A4" s="0" t="s">
        <v>28</v>
      </c>
      <c r="B4" s="6" t="n">
        <f aca="false">INT(Assunzioni!B8/(Assunzioni!B7/60))</f>
        <v>40</v>
      </c>
      <c r="C4" s="2" t="s">
        <v>29</v>
      </c>
    </row>
    <row r="5" customFormat="false" ht="15" hidden="false" customHeight="false" outlineLevel="0" collapsed="false">
      <c r="A5" s="0" t="s">
        <v>30</v>
      </c>
      <c r="B5" s="6" t="n">
        <f aca="false">B4*Assunzioni!B9</f>
        <v>1840</v>
      </c>
      <c r="C5" s="2" t="s">
        <v>31</v>
      </c>
    </row>
    <row r="6" customFormat="false" ht="15" hidden="false" customHeight="false" outlineLevel="0" collapsed="false">
      <c r="A6" s="0" t="s">
        <v>32</v>
      </c>
      <c r="B6" s="6" t="n">
        <f aca="false">Assunzioni!B4-Assunzioni!B5-Assunzioni!B6</f>
        <v>15</v>
      </c>
      <c r="C6" s="2" t="s">
        <v>33</v>
      </c>
    </row>
    <row r="7" customFormat="false" ht="15" hidden="false" customHeight="false" outlineLevel="0" collapsed="false">
      <c r="A7" s="0" t="s">
        <v>34</v>
      </c>
      <c r="B7" s="7" t="n">
        <f aca="false">B6/Assunzioni!B4</f>
        <v>0.272727272727273</v>
      </c>
      <c r="C7" s="2" t="s">
        <v>35</v>
      </c>
    </row>
    <row r="8" customFormat="false" ht="15" hidden="false" customHeight="false" outlineLevel="0" collapsed="false">
      <c r="A8" s="0" t="s">
        <v>36</v>
      </c>
      <c r="B8" s="6" t="n">
        <f aca="false">B5*B6</f>
        <v>27600</v>
      </c>
      <c r="C8" s="2" t="s">
        <v>37</v>
      </c>
    </row>
    <row r="9" customFormat="false" ht="15" hidden="false" customHeight="false" outlineLevel="0" collapsed="false">
      <c r="A9" s="0" t="s">
        <v>38</v>
      </c>
      <c r="B9" s="6" t="n">
        <f aca="false">B5*Assunzioni!B4</f>
        <v>101200</v>
      </c>
      <c r="C9" s="2" t="s">
        <v>39</v>
      </c>
    </row>
    <row r="10" customFormat="false" ht="15" hidden="false" customHeight="false" outlineLevel="0" collapsed="false">
      <c r="A10" s="0" t="s">
        <v>40</v>
      </c>
      <c r="B10" s="6" t="n">
        <f aca="false">B5*Assunzioni!B5</f>
        <v>69920</v>
      </c>
      <c r="C10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26</v>
      </c>
      <c r="B4" s="3" t="s">
        <v>3</v>
      </c>
      <c r="C4" s="3" t="s">
        <v>27</v>
      </c>
    </row>
    <row r="5" customFormat="false" ht="15" hidden="false" customHeight="false" outlineLevel="0" collapsed="false">
      <c r="A5" s="0" t="s">
        <v>44</v>
      </c>
      <c r="B5" s="6" t="n">
        <f aca="false">Assunzioni!B11*Assunzioni!B10</f>
        <v>100</v>
      </c>
      <c r="C5" s="2" t="s">
        <v>45</v>
      </c>
    </row>
    <row r="6" customFormat="false" ht="15" hidden="false" customHeight="false" outlineLevel="0" collapsed="false">
      <c r="A6" s="0" t="s">
        <v>46</v>
      </c>
      <c r="B6" s="6" t="n">
        <f aca="false">'Capacità e Margine'!B4*(1-Assunzioni!B12)</f>
        <v>34</v>
      </c>
      <c r="C6" s="2" t="s">
        <v>47</v>
      </c>
    </row>
    <row r="7" customFormat="false" ht="15" hidden="false" customHeight="false" outlineLevel="0" collapsed="false">
      <c r="A7" s="0" t="s">
        <v>48</v>
      </c>
      <c r="B7" s="6" t="n">
        <f aca="false">ROUNDUP(B5/B6,0)</f>
        <v>3</v>
      </c>
      <c r="C7" s="2" t="s">
        <v>49</v>
      </c>
    </row>
    <row r="8" customFormat="false" ht="15" hidden="false" customHeight="false" outlineLevel="0" collapsed="false">
      <c r="A8" s="0" t="s">
        <v>50</v>
      </c>
      <c r="B8" s="6" t="n">
        <f aca="false">B5*4.33*Assunzioni!B4</f>
        <v>23815</v>
      </c>
      <c r="C8" s="2" t="s">
        <v>51</v>
      </c>
    </row>
    <row r="9" customFormat="false" ht="15" hidden="false" customHeight="false" outlineLevel="0" collapsed="false">
      <c r="A9" s="0" t="s">
        <v>52</v>
      </c>
      <c r="B9" s="6" t="n">
        <f aca="false">B5*4.33*Assunzioni!B5</f>
        <v>16454</v>
      </c>
      <c r="C9" s="2" t="s">
        <v>53</v>
      </c>
    </row>
    <row r="10" customFormat="false" ht="15" hidden="false" customHeight="false" outlineLevel="0" collapsed="false">
      <c r="A10" s="0" t="s">
        <v>54</v>
      </c>
      <c r="B10" s="6" t="n">
        <f aca="false">B5*4.33*Assunzioni!B6</f>
        <v>866</v>
      </c>
      <c r="C10" s="2" t="s">
        <v>55</v>
      </c>
    </row>
    <row r="11" customFormat="false" ht="15" hidden="false" customHeight="false" outlineLevel="0" collapsed="false">
      <c r="A11" s="0" t="s">
        <v>56</v>
      </c>
      <c r="B11" s="6" t="n">
        <f aca="false">B8-B9-B10</f>
        <v>6495</v>
      </c>
      <c r="C11" s="2" t="s">
        <v>57</v>
      </c>
    </row>
    <row r="12" customFormat="false" ht="15" hidden="false" customHeight="false" outlineLevel="0" collapsed="false">
      <c r="A12" s="0" t="s">
        <v>58</v>
      </c>
      <c r="B12" s="7" t="n">
        <f aca="false">B11/B8</f>
        <v>0.272727272727273</v>
      </c>
      <c r="C12" s="2" t="s">
        <v>59</v>
      </c>
    </row>
    <row r="13" customFormat="false" ht="15" hidden="false" customHeight="false" outlineLevel="0" collapsed="false">
      <c r="A13" s="0" t="s">
        <v>60</v>
      </c>
      <c r="B13" s="6" t="n">
        <f aca="false">Assunzioni!B11*Assunzioni!B13</f>
        <v>1500</v>
      </c>
      <c r="C13" s="2" t="s">
        <v>61</v>
      </c>
    </row>
    <row r="14" customFormat="false" ht="15" hidden="false" customHeight="false" outlineLevel="0" collapsed="false">
      <c r="A14" s="0" t="s">
        <v>62</v>
      </c>
      <c r="B14" s="6" t="n">
        <f aca="false">B8+B13</f>
        <v>25315</v>
      </c>
      <c r="C14" s="2" t="s">
        <v>63</v>
      </c>
    </row>
    <row r="16" customFormat="false" ht="45" hidden="false" customHeight="true" outlineLevel="0" collapsed="false">
      <c r="A16" s="8" t="s">
        <v>64</v>
      </c>
      <c r="B16" s="8"/>
      <c r="C16" s="8"/>
    </row>
  </sheetData>
  <mergeCells count="1"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2026-07-12T02:37:18Z</dcterms:created>
  <dc:creator>openpyxl</dc:creator>
  <dc:description/>
  <dc:language>en-US</dc:language>
  <cp:lastModifiedBy/>
  <dcterms:modified xsi:type="dcterms:W3CDTF">2026-07-12T02:37:18Z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